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C226B3B-B9E2-4389-933B-3587A99AADB4}" xr6:coauthVersionLast="47" xr6:coauthVersionMax="47" xr10:uidLastSave="{00000000-0000-0000-0000-000000000000}"/>
  <bookViews>
    <workbookView xWindow="-120" yWindow="-120" windowWidth="25440" windowHeight="15270" xr2:uid="{171A3A41-9717-443B-8D79-939A542922DE}"/>
  </bookViews>
  <sheets>
    <sheet name="Date_05-09-26 to 11-09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E24" i="1"/>
  <c r="G21" i="1"/>
  <c r="G22" i="1" s="1"/>
  <c r="G23" i="1" s="1"/>
  <c r="G20" i="1"/>
  <c r="G12" i="1"/>
  <c r="G6" i="1"/>
  <c r="G7" i="1" s="1"/>
  <c r="G8" i="1" s="1"/>
  <c r="G9" i="1" s="1"/>
  <c r="G5" i="1"/>
  <c r="E9" i="1"/>
  <c r="E12" i="1" s="1"/>
  <c r="G10" i="1" l="1"/>
  <c r="G11" i="1" s="1"/>
</calcChain>
</file>

<file path=xl/sharedStrings.xml><?xml version="1.0" encoding="utf-8"?>
<sst xmlns="http://schemas.openxmlformats.org/spreadsheetml/2006/main" count="26" uniqueCount="19">
  <si>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</si>
  <si>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</si>
  <si>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</si>
  <si>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</si>
  <si>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</si>
  <si>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</si>
  <si>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</si>
  <si>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</si>
  <si>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</si>
  <si>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Add Blue Oil 10 L  2 Buckets for Thaar And Xuv 700</t>
  </si>
  <si>
    <t>Paid to local Electritian for Lc-352 electrical Connection</t>
  </si>
  <si>
    <t>Slates 2 No's  &amp; chackpieces one box for Lc -352</t>
  </si>
  <si>
    <t>Bhubaneswar Office wifi reacharge</t>
  </si>
  <si>
    <t>Tarpal sheet 135 feets *6</t>
  </si>
  <si>
    <t xml:space="preserve">Crushere Wifi Reacharge </t>
  </si>
  <si>
    <t>Total</t>
  </si>
  <si>
    <t>MIRAI BUILDTECH PVT LTD ,SOMPETA</t>
  </si>
  <si>
    <t>Purchase List,Daily Payments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</si>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</sst>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4" fillId="3" borderId="7" xfId="0" applyFont="1" applyFill="1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4" fillId="3" borderId="5" xfId="0" applyFont="1" applyFill="1" applyBorder="1" applyAlignment="1">
      <alignment horizontal="center"/>
    </xf>
    <xf numFmtId="0" fontId="0" fillId="0" borderId="10" xfId="0" applyBorder="1"/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9" xfId="0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4" fontId="0" fillId="0" borderId="5" xfId="0" applyNumberForma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4" fontId="1" fillId="0" borderId="13" xfId="0" applyNumberFormat="1" applyFont="1" applyBorder="1" applyAlignment="1">
      <alignment horizontal="center" vertical="top" wrapText="1"/>
    </xf>
    <xf numFmtId="4" fontId="0" fillId="0" borderId="5" xfId="0" applyNumberFormat="1" applyBorder="1"/>
    <xf numFmtId="0" fontId="0" fillId="5" borderId="5" xfId="0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7057-A0F4-4F3C-BDFD-8B7E6D6D0C03}">
  <dimension ref="A1:G24"/>
  <sheetViews>
    <sheetView tabSelected="1" workbookViewId="0">
      <selection sqref="A1:G24"/>
    </sheetView>
  </sheetViews>
  <sheetFormatPr defaultRowHeight="15" x14ac:dyDescent="0.25"/>
  <cols>
    <col min="2" max="2" width="13" customWidth="1"/>
    <col min="4" max="4" width="50.5703125" bestFit="1" customWidth="1"/>
    <col min="5" max="5" width="19.140625" customWidth="1"/>
    <col min="6" max="6" width="12.7109375" customWidth="1"/>
    <col min="7" max="7" width="10.85546875" customWidth="1"/>
  </cols>
  <sheetData>
    <row r="1" spans="1:7" ht="15.75" x14ac:dyDescent="0.25">
      <c r="A1" s="2"/>
      <c r="B1" s="2"/>
      <c r="C1" s="29" t="s">
        <v>0</v>
      </c>
      <c r="D1" s="30"/>
      <c r="E1" s="31"/>
      <c r="F1" s="2"/>
      <c r="G1" s="2"/>
    </row>
    <row r="2" spans="1:7" ht="15.75" x14ac:dyDescent="0.25">
      <c r="A2" s="2"/>
      <c r="B2" s="2"/>
      <c r="C2" s="29" t="s">
        <v>1</v>
      </c>
      <c r="D2" s="30"/>
      <c r="E2" s="31"/>
      <c r="F2" s="2"/>
      <c r="G2" s="2"/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28"/>
      <c r="B4" s="28"/>
      <c r="C4" s="28"/>
      <c r="D4" s="28"/>
      <c r="E4" s="28"/>
      <c r="F4" s="28"/>
      <c r="G4" s="28">
        <v>6050</v>
      </c>
    </row>
    <row r="5" spans="1:7" x14ac:dyDescent="0.25">
      <c r="A5" s="2">
        <v>74</v>
      </c>
      <c r="B5" s="3">
        <v>46151</v>
      </c>
      <c r="C5" s="2">
        <v>15</v>
      </c>
      <c r="D5" s="2" t="s">
        <v>11</v>
      </c>
      <c r="E5" s="2">
        <v>110</v>
      </c>
      <c r="F5" s="2"/>
      <c r="G5" s="2">
        <f>G4-E5+F5</f>
        <v>5940</v>
      </c>
    </row>
    <row r="6" spans="1:7" x14ac:dyDescent="0.25">
      <c r="A6" s="2">
        <v>75</v>
      </c>
      <c r="B6" s="3">
        <v>46212</v>
      </c>
      <c r="C6" s="2">
        <v>940</v>
      </c>
      <c r="D6" s="2" t="s">
        <v>9</v>
      </c>
      <c r="E6" s="2">
        <v>2200</v>
      </c>
      <c r="F6" s="2">
        <v>2000</v>
      </c>
      <c r="G6" s="2">
        <f t="shared" ref="G6:G11" si="0">G5-E6+F6</f>
        <v>5740</v>
      </c>
    </row>
    <row r="7" spans="1:7" x14ac:dyDescent="0.25">
      <c r="A7" s="2">
        <v>76</v>
      </c>
      <c r="B7" s="3">
        <v>46274</v>
      </c>
      <c r="C7" s="2"/>
      <c r="D7" s="2" t="s">
        <v>10</v>
      </c>
      <c r="E7" s="2">
        <v>2500</v>
      </c>
      <c r="F7" s="2"/>
      <c r="G7" s="2">
        <f t="shared" si="0"/>
        <v>3240</v>
      </c>
    </row>
    <row r="8" spans="1:7" x14ac:dyDescent="0.25">
      <c r="A8" s="2">
        <v>77</v>
      </c>
      <c r="B8" s="3">
        <v>46274</v>
      </c>
      <c r="C8" s="2"/>
      <c r="D8" s="2" t="s">
        <v>12</v>
      </c>
      <c r="E8" s="2">
        <v>1080</v>
      </c>
      <c r="F8" s="2"/>
      <c r="G8" s="2">
        <f t="shared" si="0"/>
        <v>2160</v>
      </c>
    </row>
    <row r="9" spans="1:7" x14ac:dyDescent="0.25">
      <c r="A9" s="2">
        <v>78</v>
      </c>
      <c r="B9" s="3">
        <v>46304</v>
      </c>
      <c r="C9" s="2">
        <v>316</v>
      </c>
      <c r="D9" s="2" t="s">
        <v>13</v>
      </c>
      <c r="E9" s="2">
        <f>135*6</f>
        <v>810</v>
      </c>
      <c r="F9" s="2"/>
      <c r="G9" s="2">
        <f t="shared" si="0"/>
        <v>1350</v>
      </c>
    </row>
    <row r="10" spans="1:7" x14ac:dyDescent="0.25">
      <c r="G10" s="2">
        <f t="shared" si="0"/>
        <v>1350</v>
      </c>
    </row>
    <row r="11" spans="1:7" x14ac:dyDescent="0.25">
      <c r="A11" s="2"/>
      <c r="B11" s="2"/>
      <c r="C11" s="2"/>
      <c r="D11" s="2"/>
      <c r="E11" s="2"/>
      <c r="F11" s="2"/>
      <c r="G11" s="2">
        <f t="shared" si="0"/>
        <v>1350</v>
      </c>
    </row>
    <row r="12" spans="1:7" x14ac:dyDescent="0.25">
      <c r="A12" s="2"/>
      <c r="B12" s="2"/>
      <c r="C12" s="2"/>
      <c r="D12" s="2" t="s">
        <v>15</v>
      </c>
      <c r="E12" s="2">
        <f>SUM(E4:E11)</f>
        <v>6700</v>
      </c>
      <c r="F12" s="2"/>
      <c r="G12" s="2">
        <f>G11-E11+F11</f>
        <v>1350</v>
      </c>
    </row>
    <row r="15" spans="1:7" ht="15.75" thickBot="1" x14ac:dyDescent="0.3"/>
    <row r="16" spans="1:7" ht="15.75" thickBot="1" x14ac:dyDescent="0.3">
      <c r="A16" s="4"/>
      <c r="B16" s="5"/>
      <c r="C16" s="5"/>
      <c r="D16" s="6" t="s">
        <v>16</v>
      </c>
      <c r="E16" s="5"/>
      <c r="F16" s="7"/>
      <c r="G16" s="8"/>
    </row>
    <row r="17" spans="1:7" x14ac:dyDescent="0.25">
      <c r="A17" s="9"/>
      <c r="B17" s="2"/>
      <c r="C17" s="2"/>
      <c r="D17" s="10" t="s">
        <v>17</v>
      </c>
      <c r="E17" s="2"/>
      <c r="F17" s="2"/>
      <c r="G17" s="11"/>
    </row>
    <row r="18" spans="1:7" x14ac:dyDescent="0.25">
      <c r="A18" s="12" t="s">
        <v>2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  <c r="G18" s="13" t="s">
        <v>8</v>
      </c>
    </row>
    <row r="19" spans="1:7" x14ac:dyDescent="0.25">
      <c r="A19" s="14"/>
      <c r="B19" s="15"/>
      <c r="C19" s="15"/>
      <c r="D19" s="15"/>
      <c r="E19" s="15"/>
      <c r="F19" s="15"/>
      <c r="G19" s="16">
        <v>1358</v>
      </c>
    </row>
    <row r="20" spans="1:7" x14ac:dyDescent="0.25">
      <c r="A20" s="2">
        <v>79</v>
      </c>
      <c r="B20" s="3">
        <v>46274</v>
      </c>
      <c r="C20" s="2"/>
      <c r="D20" s="2" t="s">
        <v>14</v>
      </c>
      <c r="E20" s="2">
        <v>782</v>
      </c>
      <c r="F20" s="2"/>
      <c r="G20" s="2">
        <f>G19-E20+F20</f>
        <v>576</v>
      </c>
    </row>
    <row r="21" spans="1:7" x14ac:dyDescent="0.25">
      <c r="A21" s="19"/>
      <c r="B21" s="17"/>
      <c r="C21" s="17"/>
      <c r="D21" s="20"/>
      <c r="E21" s="21"/>
      <c r="F21" s="21"/>
      <c r="G21" s="2">
        <f t="shared" ref="G21:G23" si="1">G20-E21+F21</f>
        <v>576</v>
      </c>
    </row>
    <row r="22" spans="1:7" x14ac:dyDescent="0.25">
      <c r="A22" s="19"/>
      <c r="B22" s="17"/>
      <c r="C22" s="17"/>
      <c r="D22" s="18"/>
      <c r="E22" s="21"/>
      <c r="F22" s="21"/>
      <c r="G22" s="2">
        <f t="shared" si="1"/>
        <v>576</v>
      </c>
    </row>
    <row r="23" spans="1:7" x14ac:dyDescent="0.25">
      <c r="A23" s="19"/>
      <c r="B23" s="17"/>
      <c r="C23" s="22"/>
      <c r="D23" s="18"/>
      <c r="E23" s="21"/>
      <c r="F23" s="21"/>
      <c r="G23" s="2">
        <f t="shared" si="1"/>
        <v>576</v>
      </c>
    </row>
    <row r="24" spans="1:7" ht="15.75" thickBot="1" x14ac:dyDescent="0.3">
      <c r="A24" s="23"/>
      <c r="B24" s="24"/>
      <c r="C24" s="25"/>
      <c r="D24" s="25" t="s">
        <v>18</v>
      </c>
      <c r="E24" s="26">
        <f>SUM(E19:E23)</f>
        <v>782</v>
      </c>
      <c r="F24" s="26"/>
      <c r="G24" s="27">
        <f>G23-E23+F23</f>
        <v>576</v>
      </c>
    </row>
  </sheetData>
  <mergeCells count="2">
    <mergeCell ref="C1:E1"/>
    <mergeCell ref="C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Date_05-09-26 to 11-09-2026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2026-09-11T06:21:07Z</cp:lastPrinted>
  <dcterms:created xsi:type="dcterms:W3CDTF">2026-09-11T05:38:24Z</dcterms:created>
  <dcterms:modified xsi:type="dcterms:W3CDTF">2026-09-11T06:21:51Z</dcterms:modified>
</cp:coreProperties>
</file>