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September_2026\"/>
    </mc:Choice>
  </mc:AlternateContent>
  <xr:revisionPtr revIDLastSave="0" documentId="13_ncr:1_{28D1C88E-7522-42ED-B0DF-871B49DDD052}" xr6:coauthVersionLast="47" xr6:coauthVersionMax="47" xr10:uidLastSave="{00000000-0000-0000-0000-000000000000}"/>
  <bookViews>
    <workbookView xWindow="-120" yWindow="-120" windowWidth="25440" windowHeight="15270" firstSheet="1" activeTab="3" xr2:uid="{171A3A41-9717-443B-8D79-939A542922DE}"/>
  </bookViews>
  <sheets>
    <sheet name="Date_05-09-26 to 11-09-2026" sheetId="1" r:id="rId1"/>
    <sheet name="Date_12-09-26 to 18-09-2026" sheetId="2" r:id="rId2"/>
    <sheet name="Date_19-09-26 to 25-09-2026" sheetId="3" r:id="rId3"/>
    <sheet name="Date_26-09-26 to 02-10-2026" sheetId="4" r:id="rId4"/>
  </sheets>
  <definedNames>
    <definedName name="_xlnm._FilterDatabase" localSheetId="0" hidden="1">'Date_05-09-26 to 11-09-2026'!$A$3:$G$3</definedName>
    <definedName name="_xlnm._FilterDatabase" localSheetId="1" hidden="1">'Date_12-09-26 to 18-09-2026'!$A$3:$G$3</definedName>
    <definedName name="_xlnm._FilterDatabase" localSheetId="2" hidden="1">'Date_19-09-26 to 25-09-2026'!$A$3:$G$3</definedName>
    <definedName name="_xlnm._FilterDatabase" localSheetId="3" hidden="1">'Date_26-09-26 to 02-10-2026'!$A$3:$G$18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4" l="1"/>
  <c r="G38" i="4"/>
  <c r="G39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31" i="4"/>
  <c r="G32" i="4" s="1"/>
  <c r="G33" i="4" s="1"/>
  <c r="G34" i="4" s="1"/>
  <c r="G35" i="4" s="1"/>
  <c r="E23" i="4"/>
  <c r="G21" i="3"/>
  <c r="G17" i="3"/>
  <c r="G18" i="3" s="1"/>
  <c r="G19" i="3" s="1"/>
  <c r="G20" i="3" s="1"/>
  <c r="G5" i="3"/>
  <c r="G6" i="3" s="1"/>
  <c r="G7" i="3" s="1"/>
  <c r="G8" i="3" s="1"/>
  <c r="G9" i="3" s="1"/>
  <c r="E21" i="3"/>
  <c r="E9" i="3"/>
  <c r="G34" i="2"/>
  <c r="G35" i="2"/>
  <c r="G36" i="2"/>
  <c r="G37" i="2" s="1"/>
  <c r="G33" i="2"/>
  <c r="G25" i="2"/>
  <c r="G24" i="2"/>
  <c r="E25" i="2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5" i="2"/>
  <c r="E37" i="2"/>
  <c r="G24" i="1"/>
  <c r="E24" i="1"/>
  <c r="G21" i="1"/>
  <c r="G22" i="1" s="1"/>
  <c r="G23" i="1" s="1"/>
  <c r="G20" i="1"/>
  <c r="G12" i="1"/>
  <c r="G6" i="1"/>
  <c r="G7" i="1" s="1"/>
  <c r="G8" i="1" s="1"/>
  <c r="G9" i="1" s="1"/>
  <c r="G5" i="1"/>
  <c r="E9" i="1"/>
  <c r="E12" i="1" s="1"/>
  <c r="G22" i="4" l="1"/>
  <c r="G23" i="4"/>
  <c r="G36" i="4"/>
  <c r="G37" i="4" s="1"/>
  <c r="G10" i="1"/>
  <c r="G11" i="1" s="1"/>
</calcChain>
</file>

<file path=xl/sharedStrings.xml><?xml version="1.0" encoding="utf-8"?>
<sst xmlns="http://schemas.openxmlformats.org/spreadsheetml/2006/main" count="179" uniqueCount="82">
  <si>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</si>
  <si>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</si>
  <si>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</si>
  <si>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</si>
  <si>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</si>
  <si>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</si>
  <si>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</si>
  <si>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</si>
  <si>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</si>
  <si>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Add Blue Oil 10 L  2 Buckets for Thaar And Xuv 700</t>
  </si>
  <si>
    <t>Paid to local Electritian for Lc-352 electrical Connection</t>
  </si>
  <si>
    <t>Slates 2 No's  &amp; chackpieces one box for Lc -352</t>
  </si>
  <si>
    <t>Bhubaneswar Office wifi reacharge</t>
  </si>
  <si>
    <t>Tarpal sheet 135 feets *6</t>
  </si>
  <si>
    <t xml:space="preserve">Crushere Wifi Reacharge </t>
  </si>
  <si>
    <t>Total</t>
  </si>
  <si>
    <t>MIRAI BUILDTECH PVT LTD ,SOMPETA</t>
  </si>
  <si>
    <t>Purchase List,Daily Payments</t>
  </si>
  <si>
    <t xml:space="preserve">  TOTAL</t>
  </si>
  <si>
    <t>Received money from Rajashekar hand cash</t>
  </si>
  <si>
    <t>14-09-2026</t>
  </si>
  <si>
    <t>All mixed fruits 4 kgs for vinayaka puja</t>
  </si>
  <si>
    <t>Coconuts 5 No's for vinayaka Puja</t>
  </si>
  <si>
    <t>All mixed  flowers for vinayaka puja</t>
  </si>
  <si>
    <t>Puja samanulu for vinayaka puja</t>
  </si>
  <si>
    <t>Lemon for vinayaka puja</t>
  </si>
  <si>
    <t>suger can 2 no's for vinayaka puja</t>
  </si>
  <si>
    <t>Laddu 1 Kg for vinayaka puja</t>
  </si>
  <si>
    <t>Decaration kit  for vinayaka puja</t>
  </si>
  <si>
    <t xml:space="preserve">marmaralu &amp; floor wiper for office wash room cleening </t>
  </si>
  <si>
    <t>Betel Leaves &amp; vokkalu for vinayaka puja</t>
  </si>
  <si>
    <t>Vinayaka Vigraham</t>
  </si>
  <si>
    <t>Banana for vinayaka puja</t>
  </si>
  <si>
    <t xml:space="preserve">Crusher pujari Amount </t>
  </si>
  <si>
    <t>17-09-2026</t>
  </si>
  <si>
    <t>Viswakarma Patam</t>
  </si>
  <si>
    <t xml:space="preserve">Puja samanulu for viswakarma puja </t>
  </si>
  <si>
    <t xml:space="preserve">Sweets one Kg  for viswakarma puja </t>
  </si>
  <si>
    <t xml:space="preserve">Coconut 1 No's  for viswakarma puja </t>
  </si>
  <si>
    <t>Murali Technical Works ,Printing papers one box &amp; Catrage 2 No's</t>
  </si>
  <si>
    <t xml:space="preserve">fruits for  for viswakarma puja </t>
  </si>
  <si>
    <t>pula mala for for vinayaka puja</t>
  </si>
  <si>
    <t>Gst_15</t>
  </si>
  <si>
    <t>16-09-2026</t>
  </si>
  <si>
    <t>Paid to lineman for crusher Electrical Purpose</t>
  </si>
  <si>
    <t>17-09-2027</t>
  </si>
  <si>
    <t>Paid to postman for crusher Electrical bill delivered</t>
  </si>
  <si>
    <t>19-09-2026</t>
  </si>
  <si>
    <t>Gireesh sir food expensive</t>
  </si>
  <si>
    <t>24-09-2026</t>
  </si>
  <si>
    <t xml:space="preserve">Carpenter charges for office Door repaire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</si>
  <si>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</si>
  <si>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Received money through PhonePe from Rajasekhar</t>
  </si>
  <si>
    <t>26-09-2026</t>
  </si>
  <si>
    <t>Water taps for camp office washrooms</t>
  </si>
  <si>
    <t>AE2627/1128</t>
  </si>
  <si>
    <r>
      <t>Paid to</t>
    </r>
    <r>
      <rPr>
        <b/>
        <sz val="11"/>
        <color theme="1"/>
        <rFont val="Calibri"/>
        <family val="2"/>
        <scheme val="minor"/>
      </rPr>
      <t xml:space="preserve"> Amit Engineer's   </t>
    </r>
    <r>
      <rPr>
        <sz val="11"/>
        <color theme="1"/>
        <rFont val="Calibri"/>
        <family val="2"/>
        <scheme val="minor"/>
      </rPr>
      <t>7018 welding rods – one box of 6013 (3.15 mm), one box of 6013 (4 mm), and one box (7"&amp;4" grinding wheel &amp; 7"Cutting wheels)</t>
    </r>
  </si>
  <si>
    <t>Received money from Rajasekhar through PhonePe</t>
  </si>
  <si>
    <t>27-09-2026</t>
  </si>
  <si>
    <t>Delivery charges from Vizag to Sompeta for  welding rods</t>
  </si>
  <si>
    <t>28-09-2026</t>
  </si>
  <si>
    <t>Ananth expenses – went for Rajapuram, LC-335 electrical work</t>
  </si>
  <si>
    <t>Paid to have the lease agreement written for Mirai Buildtech  Pvt  Ltd.</t>
  </si>
  <si>
    <t>29-09-2026</t>
  </si>
  <si>
    <t>E-stamp for land agreement – Mirai Buildtech  Pvt Ltd.</t>
  </si>
  <si>
    <t>Paid to have the lease agreement written for   Mirai Buildtech  Pvt Ltd.</t>
  </si>
  <si>
    <t>Tissue papers for office purpose</t>
  </si>
  <si>
    <t>Hand wash – 2 Nos. for office purpose</t>
  </si>
  <si>
    <t>Tape box – one box, 30 pieces for store</t>
  </si>
  <si>
    <t>30-09-2026</t>
  </si>
  <si>
    <t>New cartridges – 2 Nos. for office printers</t>
  </si>
  <si>
    <t>1147</t>
  </si>
  <si>
    <r>
      <t xml:space="preserve">Paid  to </t>
    </r>
    <r>
      <rPr>
        <b/>
        <sz val="11"/>
        <color theme="1"/>
        <rFont val="Calibri"/>
        <family val="2"/>
        <scheme val="minor"/>
      </rPr>
      <t>Amit Engineer's</t>
    </r>
    <r>
      <rPr>
        <sz val="11"/>
        <color theme="1"/>
        <rFont val="Calibri"/>
        <family val="2"/>
        <scheme val="minor"/>
      </rPr>
      <t xml:space="preserve"> for gas cutting torch, hose pipe (red/blue), safety valves and LPG regulator for workshop</t>
    </r>
  </si>
  <si>
    <t>E-Stamp for land – Mirai Buildtech  Pvt  Ltd.</t>
  </si>
  <si>
    <t>L-11</t>
  </si>
  <si>
    <t>TOTAL</t>
  </si>
  <si>
    <t>The SAI engineer took cash for their Hyderabad expenses.</t>
  </si>
  <si>
    <t xml:space="preserve">Work Approval Pdf  colour xerox </t>
  </si>
  <si>
    <t>Multi Meter For Office Purpose  (flipkart)</t>
  </si>
  <si>
    <t>Delivery charges from Vizag to Sompeta for  gas cutter set And hose pipe 100 meter</t>
  </si>
  <si>
    <t>Crusher Wifi Reacharge Bill</t>
  </si>
  <si>
    <t>Received Money From Rajashekhar Through Ph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</si>
</sst>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4" fillId="3" borderId="7" xfId="0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4" fillId="3" borderId="5" xfId="0" applyFont="1" applyFill="1" applyBorder="1" applyAlignment="1">
      <alignment horizontal="center"/>
    </xf>
    <xf numFmtId="0" fontId="0" fillId="0" borderId="10" xfId="0" applyBorder="1"/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4" fontId="0" fillId="0" borderId="5" xfId="0" applyNumberForma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4" fontId="1" fillId="0" borderId="13" xfId="0" applyNumberFormat="1" applyFont="1" applyBorder="1" applyAlignment="1">
      <alignment horizontal="center" vertical="top" wrapText="1"/>
    </xf>
    <xf numFmtId="4" fontId="0" fillId="0" borderId="5" xfId="0" applyNumberFormat="1" applyBorder="1"/>
    <xf numFmtId="0" fontId="0" fillId="5" borderId="5" xfId="0" applyFill="1" applyBorder="1"/>
    <xf numFmtId="0" fontId="5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5" borderId="0" xfId="0" applyFill="1"/>
    <xf numFmtId="0" fontId="3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164" fontId="0" fillId="0" borderId="5" xfId="0" applyNumberFormat="1" applyBorder="1" applyAlignment="1">
      <alignment vertical="top" wrapText="1"/>
    </xf>
    <xf numFmtId="0" fontId="1" fillId="5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2" xfId="0" applyBorder="1"/>
    <xf numFmtId="0" fontId="0" fillId="0" borderId="4" xfId="0" applyBorder="1"/>
    <xf numFmtId="14" fontId="0" fillId="0" borderId="5" xfId="0" applyNumberForma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top"/>
    </xf>
    <xf numFmtId="14" fontId="0" fillId="0" borderId="0" xfId="0" applyNumberForma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7057-A0F4-4F3C-BDFD-8B7E6D6D0C03}">
  <dimension ref="A1:G24"/>
  <sheetViews>
    <sheetView workbookViewId="0">
      <selection activeCell="I3" sqref="I3"/>
    </sheetView>
  </sheetViews>
  <sheetFormatPr defaultRowHeight="15" x14ac:dyDescent="0.25"/>
  <cols>
    <col min="2" max="2" width="13" customWidth="1"/>
    <col min="4" max="4" width="50.5703125" bestFit="1" customWidth="1"/>
    <col min="5" max="5" width="19.140625" customWidth="1"/>
    <col min="6" max="6" width="12.7109375" customWidth="1"/>
    <col min="7" max="7" width="13.5703125" customWidth="1"/>
  </cols>
  <sheetData>
    <row r="1" spans="1:7" ht="15.75" x14ac:dyDescent="0.25">
      <c r="A1" s="2"/>
      <c r="B1" s="2"/>
      <c r="C1" s="63" t="s">
        <v>0</v>
      </c>
      <c r="D1" s="64"/>
      <c r="E1" s="65"/>
      <c r="F1" s="2"/>
      <c r="G1" s="2"/>
    </row>
    <row r="2" spans="1:7" ht="15.75" x14ac:dyDescent="0.25">
      <c r="A2" s="2"/>
      <c r="B2" s="2"/>
      <c r="C2" s="63" t="s">
        <v>1</v>
      </c>
      <c r="D2" s="64"/>
      <c r="E2" s="65"/>
      <c r="F2" s="2"/>
      <c r="G2" s="2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8"/>
      <c r="B4" s="28"/>
      <c r="C4" s="28"/>
      <c r="D4" s="28"/>
      <c r="E4" s="28"/>
      <c r="F4" s="28"/>
      <c r="G4" s="28">
        <v>6050</v>
      </c>
    </row>
    <row r="5" spans="1:7" x14ac:dyDescent="0.25">
      <c r="A5" s="2">
        <v>74</v>
      </c>
      <c r="B5" s="3">
        <v>46151</v>
      </c>
      <c r="C5" s="2">
        <v>15</v>
      </c>
      <c r="D5" s="2" t="s">
        <v>11</v>
      </c>
      <c r="E5" s="2">
        <v>110</v>
      </c>
      <c r="F5" s="2"/>
      <c r="G5" s="2">
        <f>G4-E5+F5</f>
        <v>5940</v>
      </c>
    </row>
    <row r="6" spans="1:7" x14ac:dyDescent="0.25">
      <c r="A6" s="2">
        <v>75</v>
      </c>
      <c r="B6" s="3">
        <v>46212</v>
      </c>
      <c r="C6" s="2">
        <v>940</v>
      </c>
      <c r="D6" s="2" t="s">
        <v>9</v>
      </c>
      <c r="E6" s="2">
        <v>2200</v>
      </c>
      <c r="F6" s="2">
        <v>2000</v>
      </c>
      <c r="G6" s="2">
        <f t="shared" ref="G6:G11" si="0">G5-E6+F6</f>
        <v>5740</v>
      </c>
    </row>
    <row r="7" spans="1:7" x14ac:dyDescent="0.25">
      <c r="A7" s="2">
        <v>76</v>
      </c>
      <c r="B7" s="3">
        <v>46274</v>
      </c>
      <c r="C7" s="2"/>
      <c r="D7" s="2" t="s">
        <v>10</v>
      </c>
      <c r="E7" s="2">
        <v>2500</v>
      </c>
      <c r="F7" s="2"/>
      <c r="G7" s="2">
        <f t="shared" si="0"/>
        <v>3240</v>
      </c>
    </row>
    <row r="8" spans="1:7" x14ac:dyDescent="0.25">
      <c r="A8" s="2">
        <v>77</v>
      </c>
      <c r="B8" s="3">
        <v>46274</v>
      </c>
      <c r="C8" s="2"/>
      <c r="D8" s="2" t="s">
        <v>12</v>
      </c>
      <c r="E8" s="2">
        <v>1080</v>
      </c>
      <c r="F8" s="2"/>
      <c r="G8" s="2">
        <f t="shared" si="0"/>
        <v>2160</v>
      </c>
    </row>
    <row r="9" spans="1:7" x14ac:dyDescent="0.25">
      <c r="A9" s="2">
        <v>78</v>
      </c>
      <c r="B9" s="3">
        <v>46304</v>
      </c>
      <c r="C9" s="2">
        <v>316</v>
      </c>
      <c r="D9" s="2" t="s">
        <v>13</v>
      </c>
      <c r="E9" s="2">
        <f>135*6</f>
        <v>810</v>
      </c>
      <c r="F9" s="2"/>
      <c r="G9" s="2">
        <f t="shared" si="0"/>
        <v>1350</v>
      </c>
    </row>
    <row r="10" spans="1:7" x14ac:dyDescent="0.25">
      <c r="G10" s="2">
        <f t="shared" si="0"/>
        <v>1350</v>
      </c>
    </row>
    <row r="11" spans="1:7" x14ac:dyDescent="0.25">
      <c r="A11" s="2"/>
      <c r="B11" s="2"/>
      <c r="C11" s="2"/>
      <c r="D11" s="2"/>
      <c r="E11" s="2"/>
      <c r="F11" s="2"/>
      <c r="G11" s="2">
        <f t="shared" si="0"/>
        <v>1350</v>
      </c>
    </row>
    <row r="12" spans="1:7" x14ac:dyDescent="0.25">
      <c r="A12" s="2"/>
      <c r="B12" s="2"/>
      <c r="C12" s="2"/>
      <c r="D12" s="2" t="s">
        <v>15</v>
      </c>
      <c r="E12" s="2">
        <f>SUM(E4:E11)</f>
        <v>6700</v>
      </c>
      <c r="F12" s="2"/>
      <c r="G12" s="2">
        <f>G11-E11+F11</f>
        <v>1350</v>
      </c>
    </row>
    <row r="15" spans="1:7" ht="15.75" thickBot="1" x14ac:dyDescent="0.3"/>
    <row r="16" spans="1:7" ht="15.75" thickBot="1" x14ac:dyDescent="0.3">
      <c r="A16" s="4"/>
      <c r="B16" s="5"/>
      <c r="C16" s="5"/>
      <c r="D16" s="6" t="s">
        <v>16</v>
      </c>
      <c r="E16" s="5"/>
      <c r="F16" s="7"/>
      <c r="G16" s="8"/>
    </row>
    <row r="17" spans="1:7" x14ac:dyDescent="0.25">
      <c r="A17" s="9"/>
      <c r="B17" s="2"/>
      <c r="C17" s="2"/>
      <c r="D17" s="10" t="s">
        <v>17</v>
      </c>
      <c r="E17" s="2"/>
      <c r="F17" s="2"/>
      <c r="G17" s="11"/>
    </row>
    <row r="18" spans="1:7" x14ac:dyDescent="0.25">
      <c r="A18" s="12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3" t="s">
        <v>8</v>
      </c>
    </row>
    <row r="19" spans="1:7" x14ac:dyDescent="0.25">
      <c r="A19" s="14"/>
      <c r="B19" s="15"/>
      <c r="C19" s="15"/>
      <c r="D19" s="15"/>
      <c r="E19" s="15"/>
      <c r="F19" s="15"/>
      <c r="G19" s="16">
        <v>1358</v>
      </c>
    </row>
    <row r="20" spans="1:7" x14ac:dyDescent="0.25">
      <c r="A20" s="2">
        <v>79</v>
      </c>
      <c r="B20" s="3">
        <v>46274</v>
      </c>
      <c r="C20" s="2"/>
      <c r="D20" s="2" t="s">
        <v>14</v>
      </c>
      <c r="E20" s="2">
        <v>782</v>
      </c>
      <c r="F20" s="2"/>
      <c r="G20" s="2">
        <f>G19-E20+F20</f>
        <v>576</v>
      </c>
    </row>
    <row r="21" spans="1:7" x14ac:dyDescent="0.25">
      <c r="A21" s="19"/>
      <c r="B21" s="17"/>
      <c r="C21" s="17"/>
      <c r="D21" s="20"/>
      <c r="E21" s="21"/>
      <c r="F21" s="21"/>
      <c r="G21" s="2">
        <f t="shared" ref="G21:G23" si="1">G20-E21+F21</f>
        <v>576</v>
      </c>
    </row>
    <row r="22" spans="1:7" x14ac:dyDescent="0.25">
      <c r="A22" s="19"/>
      <c r="B22" s="17"/>
      <c r="C22" s="17"/>
      <c r="D22" s="18"/>
      <c r="E22" s="21"/>
      <c r="F22" s="21"/>
      <c r="G22" s="2">
        <f t="shared" si="1"/>
        <v>576</v>
      </c>
    </row>
    <row r="23" spans="1:7" x14ac:dyDescent="0.25">
      <c r="A23" s="19"/>
      <c r="B23" s="17"/>
      <c r="C23" s="22"/>
      <c r="D23" s="18"/>
      <c r="E23" s="21"/>
      <c r="F23" s="21"/>
      <c r="G23" s="2">
        <f t="shared" si="1"/>
        <v>576</v>
      </c>
    </row>
    <row r="24" spans="1:7" ht="15.75" thickBot="1" x14ac:dyDescent="0.3">
      <c r="A24" s="23"/>
      <c r="B24" s="24"/>
      <c r="C24" s="25"/>
      <c r="D24" s="25" t="s">
        <v>18</v>
      </c>
      <c r="E24" s="26">
        <f>SUM(E19:E23)</f>
        <v>782</v>
      </c>
      <c r="F24" s="26"/>
      <c r="G24" s="27">
        <f>G23-E23+F23</f>
        <v>576</v>
      </c>
    </row>
  </sheetData>
  <autoFilter ref="A3:G3" xr:uid="{C53E7057-A0F4-4F3C-BDFD-8B7E6D6D0C03}"/>
  <mergeCells count="2">
    <mergeCell ref="C1:E1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0D83-B64F-4059-BE84-CBA4EC15AA8A}">
  <dimension ref="A1:G37"/>
  <sheetViews>
    <sheetView workbookViewId="0">
      <selection activeCell="M25" sqref="M25"/>
    </sheetView>
  </sheetViews>
  <sheetFormatPr defaultRowHeight="15" x14ac:dyDescent="0.25"/>
  <cols>
    <col min="1" max="1" width="14.85546875" customWidth="1"/>
    <col min="2" max="2" width="18.140625" customWidth="1"/>
    <col min="3" max="3" width="9" customWidth="1"/>
    <col min="4" max="4" width="56.5703125" customWidth="1"/>
    <col min="5" max="5" width="16" customWidth="1"/>
    <col min="6" max="6" width="19.5703125" customWidth="1"/>
    <col min="7" max="7" width="14" customWidth="1"/>
  </cols>
  <sheetData>
    <row r="1" spans="1:7" ht="15.75" x14ac:dyDescent="0.25">
      <c r="A1" s="2"/>
      <c r="B1" s="2"/>
      <c r="C1" s="63" t="s">
        <v>0</v>
      </c>
      <c r="D1" s="64"/>
      <c r="E1" s="65"/>
      <c r="F1" s="2"/>
      <c r="G1" s="2"/>
    </row>
    <row r="2" spans="1:7" ht="15.75" x14ac:dyDescent="0.25">
      <c r="A2" s="2"/>
      <c r="B2" s="2"/>
      <c r="C2" s="63" t="s">
        <v>1</v>
      </c>
      <c r="D2" s="64"/>
      <c r="E2" s="65"/>
      <c r="F2" s="2"/>
      <c r="G2" s="2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38"/>
      <c r="B4" s="38"/>
      <c r="C4" s="38"/>
      <c r="D4" s="38"/>
      <c r="E4" s="38"/>
      <c r="F4" s="38"/>
      <c r="G4" s="38">
        <v>560</v>
      </c>
    </row>
    <row r="5" spans="1:7" x14ac:dyDescent="0.25">
      <c r="A5" s="39">
        <v>179</v>
      </c>
      <c r="B5" s="40">
        <v>46365</v>
      </c>
      <c r="C5" s="39"/>
      <c r="D5" s="35" t="s">
        <v>19</v>
      </c>
      <c r="E5" s="39"/>
      <c r="F5" s="39">
        <v>14000</v>
      </c>
      <c r="G5" s="39">
        <f>G4-E5+F5</f>
        <v>14560</v>
      </c>
    </row>
    <row r="6" spans="1:7" x14ac:dyDescent="0.25">
      <c r="A6" s="39">
        <v>180</v>
      </c>
      <c r="B6" s="40" t="s">
        <v>20</v>
      </c>
      <c r="C6" s="39"/>
      <c r="D6" s="35" t="s">
        <v>21</v>
      </c>
      <c r="E6" s="39">
        <v>750</v>
      </c>
      <c r="F6" s="39"/>
      <c r="G6" s="39">
        <f t="shared" ref="G6:G24" si="0">G5-E6+F6</f>
        <v>13810</v>
      </c>
    </row>
    <row r="7" spans="1:7" x14ac:dyDescent="0.25">
      <c r="A7" s="39">
        <v>181</v>
      </c>
      <c r="B7" s="40" t="s">
        <v>20</v>
      </c>
      <c r="C7" s="39"/>
      <c r="D7" s="33" t="s">
        <v>22</v>
      </c>
      <c r="E7" s="39">
        <v>150</v>
      </c>
      <c r="F7" s="39"/>
      <c r="G7" s="39">
        <f t="shared" si="0"/>
        <v>13660</v>
      </c>
    </row>
    <row r="8" spans="1:7" x14ac:dyDescent="0.25">
      <c r="A8" s="39">
        <v>182</v>
      </c>
      <c r="B8" s="40" t="s">
        <v>20</v>
      </c>
      <c r="C8" s="39"/>
      <c r="D8" s="35" t="s">
        <v>23</v>
      </c>
      <c r="E8" s="39">
        <v>460</v>
      </c>
      <c r="F8" s="39"/>
      <c r="G8" s="39">
        <f t="shared" si="0"/>
        <v>13200</v>
      </c>
    </row>
    <row r="9" spans="1:7" x14ac:dyDescent="0.25">
      <c r="A9" s="39">
        <v>183</v>
      </c>
      <c r="B9" s="40" t="s">
        <v>20</v>
      </c>
      <c r="C9" s="39"/>
      <c r="D9" s="35" t="s">
        <v>24</v>
      </c>
      <c r="E9" s="39">
        <v>140</v>
      </c>
      <c r="F9" s="39"/>
      <c r="G9" s="39">
        <f t="shared" si="0"/>
        <v>13060</v>
      </c>
    </row>
    <row r="10" spans="1:7" x14ac:dyDescent="0.25">
      <c r="A10" s="39">
        <v>184</v>
      </c>
      <c r="B10" s="40" t="s">
        <v>20</v>
      </c>
      <c r="C10" s="39"/>
      <c r="D10" s="35" t="s">
        <v>25</v>
      </c>
      <c r="E10" s="39">
        <v>50</v>
      </c>
      <c r="F10" s="39"/>
      <c r="G10" s="39">
        <f t="shared" si="0"/>
        <v>13010</v>
      </c>
    </row>
    <row r="11" spans="1:7" x14ac:dyDescent="0.25">
      <c r="A11" s="39">
        <v>185</v>
      </c>
      <c r="B11" s="40" t="s">
        <v>20</v>
      </c>
      <c r="C11" s="39"/>
      <c r="D11" s="35" t="s">
        <v>26</v>
      </c>
      <c r="E11" s="39">
        <v>80</v>
      </c>
      <c r="F11" s="39"/>
      <c r="G11" s="39">
        <f t="shared" si="0"/>
        <v>12930</v>
      </c>
    </row>
    <row r="12" spans="1:7" x14ac:dyDescent="0.25">
      <c r="A12" s="39">
        <v>186</v>
      </c>
      <c r="B12" s="40" t="s">
        <v>20</v>
      </c>
      <c r="C12" s="39"/>
      <c r="D12" s="35" t="s">
        <v>27</v>
      </c>
      <c r="E12" s="39">
        <v>260</v>
      </c>
      <c r="F12" s="39"/>
      <c r="G12" s="39">
        <f t="shared" si="0"/>
        <v>12670</v>
      </c>
    </row>
    <row r="13" spans="1:7" x14ac:dyDescent="0.25">
      <c r="A13" s="39">
        <v>187</v>
      </c>
      <c r="B13" s="40" t="s">
        <v>20</v>
      </c>
      <c r="C13" s="39">
        <v>78</v>
      </c>
      <c r="D13" s="35" t="s">
        <v>28</v>
      </c>
      <c r="E13" s="39">
        <v>1180</v>
      </c>
      <c r="F13" s="39"/>
      <c r="G13" s="39">
        <f t="shared" si="0"/>
        <v>11490</v>
      </c>
    </row>
    <row r="14" spans="1:7" x14ac:dyDescent="0.25">
      <c r="A14" s="39">
        <v>188</v>
      </c>
      <c r="B14" s="40" t="s">
        <v>20</v>
      </c>
      <c r="C14" s="39">
        <v>199</v>
      </c>
      <c r="D14" s="35" t="s">
        <v>29</v>
      </c>
      <c r="E14" s="39">
        <v>500</v>
      </c>
      <c r="F14" s="39"/>
      <c r="G14" s="39">
        <f t="shared" si="0"/>
        <v>10990</v>
      </c>
    </row>
    <row r="15" spans="1:7" x14ac:dyDescent="0.25">
      <c r="A15" s="39">
        <v>189</v>
      </c>
      <c r="B15" s="40" t="s">
        <v>20</v>
      </c>
      <c r="C15" s="39"/>
      <c r="D15" s="35" t="s">
        <v>30</v>
      </c>
      <c r="E15" s="39">
        <v>50</v>
      </c>
      <c r="F15" s="39"/>
      <c r="G15" s="39">
        <f t="shared" si="0"/>
        <v>10940</v>
      </c>
    </row>
    <row r="16" spans="1:7" x14ac:dyDescent="0.25">
      <c r="A16" s="39">
        <v>190</v>
      </c>
      <c r="B16" s="40" t="s">
        <v>20</v>
      </c>
      <c r="C16" s="39"/>
      <c r="D16" s="35" t="s">
        <v>31</v>
      </c>
      <c r="E16" s="39">
        <v>900</v>
      </c>
      <c r="F16" s="39"/>
      <c r="G16" s="39">
        <f t="shared" si="0"/>
        <v>10040</v>
      </c>
    </row>
    <row r="17" spans="1:7" x14ac:dyDescent="0.25">
      <c r="A17" s="39">
        <v>191</v>
      </c>
      <c r="B17" s="40" t="s">
        <v>20</v>
      </c>
      <c r="C17" s="39"/>
      <c r="D17" s="35" t="s">
        <v>32</v>
      </c>
      <c r="E17" s="39">
        <v>200</v>
      </c>
      <c r="F17" s="39"/>
      <c r="G17" s="39">
        <f t="shared" si="0"/>
        <v>9840</v>
      </c>
    </row>
    <row r="18" spans="1:7" x14ac:dyDescent="0.25">
      <c r="A18" s="39">
        <v>192</v>
      </c>
      <c r="B18" s="40" t="s">
        <v>20</v>
      </c>
      <c r="C18" s="41"/>
      <c r="D18" s="36" t="s">
        <v>41</v>
      </c>
      <c r="E18" s="42">
        <v>250</v>
      </c>
      <c r="F18" s="39"/>
      <c r="G18" s="39">
        <f t="shared" si="0"/>
        <v>9590</v>
      </c>
    </row>
    <row r="19" spans="1:7" x14ac:dyDescent="0.25">
      <c r="A19" s="39">
        <v>193</v>
      </c>
      <c r="B19" s="40" t="s">
        <v>34</v>
      </c>
      <c r="C19" s="39"/>
      <c r="D19" s="35" t="s">
        <v>35</v>
      </c>
      <c r="E19" s="39">
        <v>60</v>
      </c>
      <c r="F19" s="39"/>
      <c r="G19" s="39">
        <f t="shared" si="0"/>
        <v>9530</v>
      </c>
    </row>
    <row r="20" spans="1:7" x14ac:dyDescent="0.25">
      <c r="A20" s="39">
        <v>194</v>
      </c>
      <c r="B20" s="40" t="s">
        <v>34</v>
      </c>
      <c r="C20" s="39"/>
      <c r="D20" s="35" t="s">
        <v>36</v>
      </c>
      <c r="E20" s="39">
        <v>110</v>
      </c>
      <c r="F20" s="39"/>
      <c r="G20" s="39">
        <f t="shared" si="0"/>
        <v>9420</v>
      </c>
    </row>
    <row r="21" spans="1:7" x14ac:dyDescent="0.25">
      <c r="A21" s="39">
        <v>195</v>
      </c>
      <c r="B21" s="40" t="s">
        <v>34</v>
      </c>
      <c r="C21" s="39"/>
      <c r="D21" s="35" t="s">
        <v>37</v>
      </c>
      <c r="E21" s="39">
        <v>350</v>
      </c>
      <c r="F21" s="39"/>
      <c r="G21" s="39">
        <f t="shared" si="0"/>
        <v>9070</v>
      </c>
    </row>
    <row r="22" spans="1:7" x14ac:dyDescent="0.25">
      <c r="A22" s="39">
        <v>196</v>
      </c>
      <c r="B22" s="40" t="s">
        <v>34</v>
      </c>
      <c r="C22" s="39"/>
      <c r="D22" s="35" t="s">
        <v>38</v>
      </c>
      <c r="E22" s="39">
        <v>40</v>
      </c>
      <c r="F22" s="39"/>
      <c r="G22" s="39">
        <f t="shared" si="0"/>
        <v>9030</v>
      </c>
    </row>
    <row r="23" spans="1:7" x14ac:dyDescent="0.25">
      <c r="A23" s="39">
        <v>197</v>
      </c>
      <c r="B23" s="40" t="s">
        <v>34</v>
      </c>
      <c r="C23" s="39"/>
      <c r="D23" s="35" t="s">
        <v>40</v>
      </c>
      <c r="E23" s="39">
        <v>150</v>
      </c>
      <c r="F23" s="39"/>
      <c r="G23" s="39">
        <f t="shared" si="0"/>
        <v>8880</v>
      </c>
    </row>
    <row r="24" spans="1:7" x14ac:dyDescent="0.25">
      <c r="A24" s="39"/>
      <c r="B24" s="40"/>
      <c r="C24" s="39"/>
      <c r="D24" s="35"/>
      <c r="E24" s="39"/>
      <c r="F24" s="39"/>
      <c r="G24" s="39">
        <f t="shared" si="0"/>
        <v>8880</v>
      </c>
    </row>
    <row r="25" spans="1:7" x14ac:dyDescent="0.25">
      <c r="A25" s="39"/>
      <c r="B25" s="40"/>
      <c r="C25" s="39"/>
      <c r="D25" s="44" t="s">
        <v>15</v>
      </c>
      <c r="E25" s="44">
        <f>SUM(E5:E24)</f>
        <v>5680</v>
      </c>
      <c r="F25" s="44"/>
      <c r="G25" s="44">
        <f>G24-E24+F24</f>
        <v>8880</v>
      </c>
    </row>
    <row r="26" spans="1:7" x14ac:dyDescent="0.25">
      <c r="A26" s="41"/>
      <c r="B26" s="41"/>
      <c r="C26" s="41"/>
      <c r="D26" s="41"/>
      <c r="E26" s="41"/>
      <c r="F26" s="41"/>
      <c r="G26" s="41"/>
    </row>
    <row r="27" spans="1:7" x14ac:dyDescent="0.25">
      <c r="A27" s="41"/>
      <c r="B27" s="41"/>
      <c r="C27" s="41"/>
      <c r="D27" s="41"/>
      <c r="E27" s="41"/>
      <c r="F27" s="41"/>
      <c r="G27" s="41"/>
    </row>
    <row r="28" spans="1:7" x14ac:dyDescent="0.25">
      <c r="A28" s="41"/>
      <c r="B28" s="41"/>
      <c r="C28" s="41"/>
      <c r="D28" s="41"/>
      <c r="E28" s="41"/>
      <c r="F28" s="41"/>
      <c r="G28" s="41"/>
    </row>
    <row r="29" spans="1:7" x14ac:dyDescent="0.25">
      <c r="A29" s="39"/>
      <c r="B29" s="39"/>
      <c r="C29" s="39"/>
      <c r="D29" s="30" t="s">
        <v>16</v>
      </c>
      <c r="E29" s="39"/>
      <c r="F29" s="39"/>
      <c r="G29" s="39"/>
    </row>
    <row r="30" spans="1:7" x14ac:dyDescent="0.25">
      <c r="A30" s="39"/>
      <c r="B30" s="39"/>
      <c r="C30" s="39"/>
      <c r="D30" s="30" t="s">
        <v>17</v>
      </c>
      <c r="E30" s="39"/>
      <c r="F30" s="39"/>
      <c r="G30" s="39"/>
    </row>
    <row r="31" spans="1:7" x14ac:dyDescent="0.25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</row>
    <row r="32" spans="1:7" x14ac:dyDescent="0.25">
      <c r="A32" s="15"/>
      <c r="B32" s="39"/>
      <c r="C32" s="39"/>
      <c r="D32" s="39"/>
      <c r="E32" s="39"/>
      <c r="F32" s="15"/>
      <c r="G32" s="29">
        <v>8880</v>
      </c>
    </row>
    <row r="33" spans="1:7" x14ac:dyDescent="0.25">
      <c r="A33" s="39">
        <v>198</v>
      </c>
      <c r="B33" s="43" t="s">
        <v>20</v>
      </c>
      <c r="C33" s="15"/>
      <c r="D33" s="37" t="s">
        <v>33</v>
      </c>
      <c r="E33" s="29">
        <v>600</v>
      </c>
      <c r="F33" s="39"/>
      <c r="G33" s="39">
        <f>G32-E33+F33</f>
        <v>8280</v>
      </c>
    </row>
    <row r="34" spans="1:7" ht="30" x14ac:dyDescent="0.25">
      <c r="A34" s="31">
        <v>199</v>
      </c>
      <c r="B34" s="31" t="s">
        <v>34</v>
      </c>
      <c r="C34" s="31" t="s">
        <v>42</v>
      </c>
      <c r="D34" s="33" t="s">
        <v>39</v>
      </c>
      <c r="E34" s="32">
        <v>3380</v>
      </c>
      <c r="F34" s="32"/>
      <c r="G34" s="39">
        <f t="shared" ref="G34:G36" si="1">G33-E34+F34</f>
        <v>4900</v>
      </c>
    </row>
    <row r="35" spans="1:7" x14ac:dyDescent="0.25">
      <c r="A35" s="31"/>
      <c r="B35" s="31"/>
      <c r="C35" s="31"/>
      <c r="D35" s="31"/>
      <c r="E35" s="32"/>
      <c r="F35" s="32"/>
      <c r="G35" s="39">
        <f t="shared" si="1"/>
        <v>4900</v>
      </c>
    </row>
    <row r="36" spans="1:7" x14ac:dyDescent="0.25">
      <c r="A36" s="31"/>
      <c r="B36" s="31"/>
      <c r="C36" s="34"/>
      <c r="D36" s="31"/>
      <c r="E36" s="32"/>
      <c r="F36" s="32"/>
      <c r="G36" s="39">
        <f t="shared" si="1"/>
        <v>4900</v>
      </c>
    </row>
    <row r="37" spans="1:7" x14ac:dyDescent="0.25">
      <c r="A37" s="31"/>
      <c r="B37" s="31"/>
      <c r="C37" s="34"/>
      <c r="D37" s="34" t="s">
        <v>18</v>
      </c>
      <c r="E37" s="46">
        <f>SUM(E33:E36)</f>
        <v>3980</v>
      </c>
      <c r="F37" s="46"/>
      <c r="G37" s="45">
        <f>G36-E36+F36</f>
        <v>4900</v>
      </c>
    </row>
  </sheetData>
  <autoFilter ref="A3:G3" xr:uid="{B1F00D83-B64F-4059-BE84-CBA4EC15AA8A}"/>
  <mergeCells count="2">
    <mergeCell ref="C1:E1"/>
    <mergeCell ref="C2:E2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3B25-A20B-4D4C-9830-1B03E23D3D53}">
  <dimension ref="A1:G23"/>
  <sheetViews>
    <sheetView workbookViewId="0">
      <selection activeCell="D13" sqref="D13:D14"/>
    </sheetView>
  </sheetViews>
  <sheetFormatPr defaultRowHeight="15" x14ac:dyDescent="0.25"/>
  <cols>
    <col min="1" max="1" width="11.42578125" customWidth="1"/>
    <col min="2" max="3" width="12" customWidth="1"/>
    <col min="4" max="4" width="49.5703125" customWidth="1"/>
    <col min="5" max="5" width="15.42578125" customWidth="1"/>
    <col min="6" max="6" width="17.42578125" customWidth="1"/>
    <col min="7" max="7" width="20.28515625" customWidth="1"/>
  </cols>
  <sheetData>
    <row r="1" spans="1:7" ht="15.75" x14ac:dyDescent="0.25">
      <c r="A1" s="2"/>
      <c r="B1" s="2"/>
      <c r="C1" s="63" t="s">
        <v>0</v>
      </c>
      <c r="D1" s="64"/>
      <c r="E1" s="65"/>
      <c r="F1" s="2"/>
      <c r="G1" s="2"/>
    </row>
    <row r="2" spans="1:7" ht="15.75" x14ac:dyDescent="0.25">
      <c r="A2" s="2"/>
      <c r="B2" s="2"/>
      <c r="C2" s="63" t="s">
        <v>1</v>
      </c>
      <c r="D2" s="64"/>
      <c r="E2" s="65"/>
      <c r="F2" s="2"/>
      <c r="G2" s="2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38"/>
      <c r="B4" s="38"/>
      <c r="C4" s="38"/>
      <c r="D4" s="38"/>
      <c r="E4" s="38"/>
      <c r="F4" s="38"/>
      <c r="G4" s="38">
        <v>4900</v>
      </c>
    </row>
    <row r="5" spans="1:7" x14ac:dyDescent="0.25">
      <c r="A5" s="47">
        <v>200</v>
      </c>
      <c r="B5" s="40" t="s">
        <v>47</v>
      </c>
      <c r="C5" s="39"/>
      <c r="D5" s="35" t="s">
        <v>48</v>
      </c>
      <c r="E5">
        <v>350</v>
      </c>
      <c r="F5" s="39"/>
      <c r="G5" s="39">
        <f>G4-E5+F5</f>
        <v>4550</v>
      </c>
    </row>
    <row r="6" spans="1:7" x14ac:dyDescent="0.25">
      <c r="A6" s="47">
        <v>201</v>
      </c>
      <c r="B6" s="40" t="s">
        <v>49</v>
      </c>
      <c r="C6" s="39"/>
      <c r="D6" s="35" t="s">
        <v>50</v>
      </c>
      <c r="E6">
        <v>200</v>
      </c>
      <c r="F6" s="39"/>
      <c r="G6" s="39">
        <f>G5-E6+F6</f>
        <v>4350</v>
      </c>
    </row>
    <row r="7" spans="1:7" x14ac:dyDescent="0.25">
      <c r="A7" s="39"/>
      <c r="B7" s="40"/>
      <c r="C7" s="39"/>
      <c r="D7" s="35"/>
      <c r="E7" s="39"/>
      <c r="F7" s="39"/>
      <c r="G7" s="39">
        <f>G6-E7+F7</f>
        <v>4350</v>
      </c>
    </row>
    <row r="8" spans="1:7" x14ac:dyDescent="0.25">
      <c r="A8" s="39"/>
      <c r="B8" s="40"/>
      <c r="C8" s="39"/>
      <c r="D8" s="35"/>
      <c r="E8" s="39"/>
      <c r="F8" s="39"/>
      <c r="G8" s="39">
        <f>G7-E8+F8</f>
        <v>4350</v>
      </c>
    </row>
    <row r="9" spans="1:7" x14ac:dyDescent="0.25">
      <c r="A9" s="39"/>
      <c r="B9" s="40"/>
      <c r="C9" s="39"/>
      <c r="D9" s="44" t="s">
        <v>15</v>
      </c>
      <c r="E9" s="44">
        <f>SUM(E5:E8)</f>
        <v>550</v>
      </c>
      <c r="F9" s="44"/>
      <c r="G9" s="44">
        <f>G8-E8+F8</f>
        <v>4350</v>
      </c>
    </row>
    <row r="10" spans="1:7" x14ac:dyDescent="0.25">
      <c r="A10" s="41"/>
      <c r="B10" s="41"/>
      <c r="C10" s="41"/>
      <c r="D10" s="41"/>
      <c r="E10" s="41"/>
      <c r="F10" s="41"/>
      <c r="G10" s="41"/>
    </row>
    <row r="11" spans="1:7" x14ac:dyDescent="0.25">
      <c r="A11" s="41"/>
      <c r="B11" s="41"/>
      <c r="C11" s="41"/>
      <c r="D11" s="41"/>
      <c r="E11" s="41"/>
      <c r="F11" s="41"/>
      <c r="G11" s="41"/>
    </row>
    <row r="12" spans="1:7" x14ac:dyDescent="0.25">
      <c r="A12" s="41"/>
      <c r="B12" s="41"/>
      <c r="C12" s="41"/>
      <c r="D12" s="41"/>
      <c r="E12" s="41"/>
      <c r="F12" s="41"/>
      <c r="G12" s="41"/>
    </row>
    <row r="13" spans="1:7" x14ac:dyDescent="0.25">
      <c r="A13" s="39"/>
      <c r="B13" s="39"/>
      <c r="C13" s="39"/>
      <c r="D13" s="30" t="s">
        <v>16</v>
      </c>
      <c r="E13" s="39"/>
      <c r="F13" s="39"/>
      <c r="G13" s="39"/>
    </row>
    <row r="14" spans="1:7" x14ac:dyDescent="0.25">
      <c r="A14" s="39"/>
      <c r="B14" s="39"/>
      <c r="C14" s="39"/>
      <c r="D14" s="30" t="s">
        <v>17</v>
      </c>
      <c r="E14" s="39"/>
      <c r="F14" s="39"/>
      <c r="G14" s="39"/>
    </row>
    <row r="15" spans="1:7" x14ac:dyDescent="0.2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</row>
    <row r="16" spans="1:7" x14ac:dyDescent="0.25">
      <c r="A16" s="48"/>
      <c r="B16" s="48"/>
      <c r="C16" s="48"/>
      <c r="D16" s="48"/>
      <c r="E16" s="48"/>
      <c r="F16" s="49"/>
      <c r="G16" s="50">
        <v>4350</v>
      </c>
    </row>
    <row r="17" spans="1:7" x14ac:dyDescent="0.25">
      <c r="A17" s="15">
        <v>202</v>
      </c>
      <c r="B17" s="40" t="s">
        <v>43</v>
      </c>
      <c r="C17" s="39"/>
      <c r="D17" s="35" t="s">
        <v>44</v>
      </c>
      <c r="E17" s="39">
        <v>200</v>
      </c>
      <c r="F17" s="39"/>
      <c r="G17" s="39">
        <f>G16-E17+F17</f>
        <v>4150</v>
      </c>
    </row>
    <row r="18" spans="1:7" x14ac:dyDescent="0.25">
      <c r="A18" s="39">
        <v>203</v>
      </c>
      <c r="B18" s="40" t="s">
        <v>45</v>
      </c>
      <c r="C18" s="39"/>
      <c r="D18" s="35" t="s">
        <v>46</v>
      </c>
      <c r="E18" s="39">
        <v>50</v>
      </c>
      <c r="F18" s="32"/>
      <c r="G18" s="39">
        <f t="shared" ref="G18:G20" si="0">G17-E18+F18</f>
        <v>4100</v>
      </c>
    </row>
    <row r="19" spans="1:7" x14ac:dyDescent="0.25">
      <c r="A19" s="31"/>
      <c r="B19" s="31"/>
      <c r="C19" s="31"/>
      <c r="D19" s="31"/>
      <c r="E19" s="32"/>
      <c r="F19" s="32"/>
      <c r="G19" s="39">
        <f t="shared" si="0"/>
        <v>4100</v>
      </c>
    </row>
    <row r="20" spans="1:7" x14ac:dyDescent="0.25">
      <c r="A20" s="31"/>
      <c r="B20" s="31"/>
      <c r="C20" s="34"/>
      <c r="D20" s="31"/>
      <c r="E20" s="32"/>
      <c r="F20" s="32"/>
      <c r="G20" s="39">
        <f t="shared" si="0"/>
        <v>4100</v>
      </c>
    </row>
    <row r="21" spans="1:7" x14ac:dyDescent="0.25">
      <c r="A21" s="31"/>
      <c r="B21" s="31"/>
      <c r="C21" s="34"/>
      <c r="D21" s="34" t="s">
        <v>18</v>
      </c>
      <c r="E21" s="46">
        <f>SUM(E17:E20)</f>
        <v>250</v>
      </c>
      <c r="F21" s="46"/>
      <c r="G21" s="45">
        <f>G20-E20+F20</f>
        <v>4100</v>
      </c>
    </row>
    <row r="23" spans="1:7" x14ac:dyDescent="0.25">
      <c r="G23" t="s">
        <v>51</v>
      </c>
    </row>
  </sheetData>
  <autoFilter ref="A3:G3" xr:uid="{80B13B25-A20B-4D4C-9830-1B03E23D3D53}"/>
  <mergeCells count="2">
    <mergeCell ref="C1:E1"/>
    <mergeCell ref="C2:E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D498-C75C-4822-983F-D8C04F0CD194}">
  <dimension ref="A1:K39"/>
  <sheetViews>
    <sheetView tabSelected="1" topLeftCell="A19" workbookViewId="0">
      <selection activeCell="I38" sqref="I38"/>
    </sheetView>
  </sheetViews>
  <sheetFormatPr defaultRowHeight="15" x14ac:dyDescent="0.25"/>
  <cols>
    <col min="2" max="3" width="14" customWidth="1"/>
    <col min="4" max="4" width="58.5703125" customWidth="1"/>
    <col min="5" max="5" width="17.140625" customWidth="1"/>
    <col min="6" max="6" width="17.28515625" customWidth="1"/>
    <col min="7" max="7" width="16.85546875" customWidth="1"/>
  </cols>
  <sheetData>
    <row r="1" spans="1:11" ht="15.75" x14ac:dyDescent="0.25">
      <c r="A1" s="2"/>
      <c r="B1" s="57"/>
      <c r="C1" s="66" t="s">
        <v>0</v>
      </c>
      <c r="D1" s="66"/>
      <c r="E1" s="66"/>
      <c r="F1" s="58"/>
      <c r="G1" s="2"/>
    </row>
    <row r="2" spans="1:11" ht="15.75" x14ac:dyDescent="0.25">
      <c r="A2" s="2"/>
      <c r="B2" s="57"/>
      <c r="C2" s="66" t="s">
        <v>1</v>
      </c>
      <c r="D2" s="66"/>
      <c r="E2" s="66"/>
      <c r="F2" s="58"/>
      <c r="G2" s="2"/>
    </row>
    <row r="3" spans="1:11" x14ac:dyDescent="0.25">
      <c r="A3" s="1" t="s">
        <v>2</v>
      </c>
      <c r="B3" s="1" t="s">
        <v>3</v>
      </c>
      <c r="C3" s="55" t="s">
        <v>4</v>
      </c>
      <c r="D3" s="55" t="s">
        <v>5</v>
      </c>
      <c r="E3" s="55" t="s">
        <v>6</v>
      </c>
      <c r="F3" s="1" t="s">
        <v>7</v>
      </c>
      <c r="G3" s="1" t="s">
        <v>8</v>
      </c>
    </row>
    <row r="4" spans="1:11" x14ac:dyDescent="0.25">
      <c r="A4" s="38"/>
      <c r="B4" s="38"/>
      <c r="C4" s="38"/>
      <c r="D4" s="38"/>
      <c r="E4" s="38"/>
      <c r="F4" s="38"/>
      <c r="G4" s="54">
        <v>4100</v>
      </c>
    </row>
    <row r="5" spans="1:11" x14ac:dyDescent="0.25">
      <c r="A5" s="38"/>
      <c r="B5" s="38"/>
      <c r="C5" s="38"/>
      <c r="D5" s="38"/>
      <c r="E5" s="38"/>
      <c r="F5" s="38"/>
      <c r="G5" s="54"/>
    </row>
    <row r="6" spans="1:11" ht="30" x14ac:dyDescent="0.25">
      <c r="A6" s="52">
        <v>204</v>
      </c>
      <c r="B6" s="20" t="s">
        <v>34</v>
      </c>
      <c r="C6" s="17"/>
      <c r="D6" s="20" t="s">
        <v>52</v>
      </c>
      <c r="E6" s="39"/>
      <c r="F6" s="39">
        <v>10000</v>
      </c>
      <c r="G6" s="39">
        <f>G4-E6+F6</f>
        <v>14100</v>
      </c>
    </row>
    <row r="7" spans="1:11" x14ac:dyDescent="0.25">
      <c r="A7" s="52">
        <v>205</v>
      </c>
      <c r="B7" s="20" t="s">
        <v>53</v>
      </c>
      <c r="C7" s="17">
        <v>58</v>
      </c>
      <c r="D7" s="20" t="s">
        <v>54</v>
      </c>
      <c r="E7" s="39">
        <v>650</v>
      </c>
      <c r="F7" s="39"/>
      <c r="G7" s="39">
        <f>G6-E7+F7</f>
        <v>13450</v>
      </c>
    </row>
    <row r="8" spans="1:11" ht="45" x14ac:dyDescent="0.25">
      <c r="A8" s="52">
        <v>206</v>
      </c>
      <c r="B8" s="20" t="s">
        <v>53</v>
      </c>
      <c r="C8" s="17" t="s">
        <v>55</v>
      </c>
      <c r="D8" s="20" t="s">
        <v>56</v>
      </c>
      <c r="E8" s="39">
        <v>13546</v>
      </c>
      <c r="F8" s="39"/>
      <c r="G8" s="39">
        <f>G7-E8+F8</f>
        <v>-96</v>
      </c>
      <c r="K8" s="68"/>
    </row>
    <row r="9" spans="1:11" ht="30" x14ac:dyDescent="0.25">
      <c r="A9" s="52">
        <v>207</v>
      </c>
      <c r="B9" s="20" t="s">
        <v>53</v>
      </c>
      <c r="C9" s="17"/>
      <c r="D9" s="20" t="s">
        <v>57</v>
      </c>
      <c r="E9" s="39"/>
      <c r="F9" s="39">
        <v>8500</v>
      </c>
      <c r="G9" s="39">
        <f>G8-E9+F9</f>
        <v>8404</v>
      </c>
    </row>
    <row r="10" spans="1:11" ht="30" x14ac:dyDescent="0.25">
      <c r="A10" s="52">
        <v>208</v>
      </c>
      <c r="B10" s="20" t="s">
        <v>58</v>
      </c>
      <c r="C10" s="17"/>
      <c r="D10" s="20" t="s">
        <v>59</v>
      </c>
      <c r="E10" s="39">
        <v>100</v>
      </c>
      <c r="F10" s="39"/>
      <c r="G10" s="39">
        <f t="shared" ref="G10:G19" si="0">G9-E10+F10</f>
        <v>8304</v>
      </c>
      <c r="K10" s="68"/>
    </row>
    <row r="11" spans="1:11" x14ac:dyDescent="0.25">
      <c r="A11" s="52">
        <v>209</v>
      </c>
      <c r="B11" s="20" t="s">
        <v>60</v>
      </c>
      <c r="C11" s="17"/>
      <c r="D11" s="20" t="s">
        <v>61</v>
      </c>
      <c r="E11" s="39">
        <v>60</v>
      </c>
      <c r="F11" s="39"/>
      <c r="G11" s="39">
        <f t="shared" si="0"/>
        <v>8244</v>
      </c>
    </row>
    <row r="12" spans="1:11" x14ac:dyDescent="0.25">
      <c r="A12" s="52">
        <v>210</v>
      </c>
      <c r="B12" s="20" t="s">
        <v>63</v>
      </c>
      <c r="C12" s="60">
        <v>97</v>
      </c>
      <c r="D12" s="20" t="s">
        <v>66</v>
      </c>
      <c r="E12" s="39">
        <v>320</v>
      </c>
      <c r="F12" s="39"/>
      <c r="G12" s="39">
        <f t="shared" si="0"/>
        <v>7924</v>
      </c>
    </row>
    <row r="13" spans="1:11" x14ac:dyDescent="0.25">
      <c r="A13" s="52">
        <v>211</v>
      </c>
      <c r="B13" s="20" t="s">
        <v>63</v>
      </c>
      <c r="C13" s="17" t="s">
        <v>74</v>
      </c>
      <c r="D13" s="20" t="s">
        <v>67</v>
      </c>
      <c r="E13" s="39">
        <v>100</v>
      </c>
      <c r="F13" s="39"/>
      <c r="G13" s="39">
        <f t="shared" si="0"/>
        <v>7824</v>
      </c>
    </row>
    <row r="14" spans="1:11" x14ac:dyDescent="0.25">
      <c r="A14" s="52">
        <v>212</v>
      </c>
      <c r="B14" s="20" t="s">
        <v>63</v>
      </c>
      <c r="C14" s="17"/>
      <c r="D14" s="20" t="s">
        <v>68</v>
      </c>
      <c r="E14" s="39">
        <v>330</v>
      </c>
      <c r="F14" s="39"/>
      <c r="G14" s="39">
        <f t="shared" si="0"/>
        <v>7494</v>
      </c>
    </row>
    <row r="15" spans="1:11" x14ac:dyDescent="0.25">
      <c r="A15" s="52">
        <v>213</v>
      </c>
      <c r="B15" s="20" t="s">
        <v>69</v>
      </c>
      <c r="C15" s="17"/>
      <c r="D15" s="20" t="s">
        <v>70</v>
      </c>
      <c r="E15" s="39">
        <v>1000</v>
      </c>
      <c r="F15" s="39"/>
      <c r="G15" s="39">
        <f t="shared" si="0"/>
        <v>6494</v>
      </c>
    </row>
    <row r="16" spans="1:11" ht="45" x14ac:dyDescent="0.25">
      <c r="A16" s="52">
        <v>214</v>
      </c>
      <c r="B16" s="20" t="s">
        <v>69</v>
      </c>
      <c r="C16" s="17" t="s">
        <v>71</v>
      </c>
      <c r="D16" s="20" t="s">
        <v>72</v>
      </c>
      <c r="E16" s="39">
        <v>14721</v>
      </c>
      <c r="F16" s="39"/>
      <c r="G16" s="39">
        <f t="shared" si="0"/>
        <v>-8227</v>
      </c>
    </row>
    <row r="17" spans="1:7" ht="30" x14ac:dyDescent="0.25">
      <c r="A17" s="52">
        <v>215</v>
      </c>
      <c r="B17" s="20" t="s">
        <v>69</v>
      </c>
      <c r="C17" s="17"/>
      <c r="D17" s="20" t="s">
        <v>57</v>
      </c>
      <c r="E17" s="39"/>
      <c r="F17" s="39">
        <v>15000</v>
      </c>
      <c r="G17" s="39">
        <f t="shared" si="0"/>
        <v>6773</v>
      </c>
    </row>
    <row r="18" spans="1:7" ht="30" x14ac:dyDescent="0.25">
      <c r="A18" s="52">
        <v>216</v>
      </c>
      <c r="B18" s="20" t="s">
        <v>69</v>
      </c>
      <c r="C18" s="17"/>
      <c r="D18" s="20" t="s">
        <v>76</v>
      </c>
      <c r="E18" s="42">
        <v>1000</v>
      </c>
      <c r="F18" s="39"/>
      <c r="G18" s="39">
        <f t="shared" si="0"/>
        <v>5773</v>
      </c>
    </row>
    <row r="19" spans="1:7" x14ac:dyDescent="0.25">
      <c r="A19" s="39">
        <v>217</v>
      </c>
      <c r="B19" s="40">
        <v>46032</v>
      </c>
      <c r="C19" s="39"/>
      <c r="D19" s="35" t="s">
        <v>78</v>
      </c>
      <c r="E19" s="39">
        <v>1391</v>
      </c>
      <c r="F19" s="39"/>
      <c r="G19" s="39">
        <f t="shared" si="0"/>
        <v>4382</v>
      </c>
    </row>
    <row r="20" spans="1:7" ht="30" x14ac:dyDescent="0.25">
      <c r="A20" s="61">
        <v>218</v>
      </c>
      <c r="B20" s="62">
        <v>46062</v>
      </c>
      <c r="C20" s="39"/>
      <c r="D20" s="33" t="s">
        <v>79</v>
      </c>
      <c r="E20" s="39">
        <v>50</v>
      </c>
      <c r="F20" s="39"/>
      <c r="G20" s="39">
        <f>G19-E20+F20</f>
        <v>4332</v>
      </c>
    </row>
    <row r="21" spans="1:7" x14ac:dyDescent="0.25">
      <c r="A21" s="61"/>
      <c r="B21" s="40"/>
      <c r="C21" s="39"/>
      <c r="D21" s="35"/>
      <c r="E21" s="39"/>
      <c r="F21" s="39"/>
      <c r="G21" s="39">
        <f t="shared" ref="G21:G22" si="1">G20-E21+F21</f>
        <v>4332</v>
      </c>
    </row>
    <row r="22" spans="1:7" x14ac:dyDescent="0.25">
      <c r="C22" s="39"/>
      <c r="D22" s="35"/>
      <c r="E22" s="39"/>
      <c r="F22" s="39"/>
      <c r="G22" s="39">
        <f t="shared" si="1"/>
        <v>4332</v>
      </c>
    </row>
    <row r="23" spans="1:7" x14ac:dyDescent="0.25">
      <c r="A23" s="39"/>
      <c r="B23" s="40"/>
      <c r="C23" s="39"/>
      <c r="D23" s="44" t="s">
        <v>75</v>
      </c>
      <c r="E23" s="44">
        <f>SUM(E6:E20)</f>
        <v>33268</v>
      </c>
      <c r="F23" s="44"/>
      <c r="G23" s="44">
        <f>G21-E21+F21</f>
        <v>4332</v>
      </c>
    </row>
    <row r="24" spans="1:7" x14ac:dyDescent="0.25">
      <c r="A24" s="41"/>
      <c r="B24" s="41"/>
      <c r="C24" s="41"/>
      <c r="D24" s="41"/>
      <c r="E24" s="41"/>
      <c r="F24" s="41"/>
      <c r="G24" s="41"/>
    </row>
    <row r="25" spans="1:7" x14ac:dyDescent="0.25">
      <c r="A25" s="41"/>
      <c r="B25" s="41"/>
      <c r="C25" s="41"/>
      <c r="D25" s="41"/>
      <c r="E25" s="41"/>
      <c r="F25" s="41"/>
      <c r="G25" s="41"/>
    </row>
    <row r="26" spans="1:7" x14ac:dyDescent="0.25">
      <c r="A26" s="41"/>
      <c r="B26" s="41"/>
      <c r="C26" s="41"/>
      <c r="D26" s="41"/>
      <c r="E26" s="41"/>
      <c r="F26" s="41"/>
      <c r="G26" s="41"/>
    </row>
    <row r="27" spans="1:7" x14ac:dyDescent="0.25">
      <c r="A27" s="41"/>
      <c r="B27" s="41"/>
      <c r="C27" s="41"/>
      <c r="D27" s="56" t="s">
        <v>16</v>
      </c>
      <c r="E27" s="41"/>
      <c r="F27" s="41"/>
      <c r="G27" s="41"/>
    </row>
    <row r="28" spans="1:7" x14ac:dyDescent="0.25">
      <c r="A28" s="67"/>
      <c r="B28" s="67"/>
      <c r="C28" s="67"/>
      <c r="D28" s="56" t="s">
        <v>17</v>
      </c>
      <c r="E28" s="67"/>
      <c r="F28" s="67"/>
      <c r="G28" s="67"/>
    </row>
    <row r="29" spans="1:7" x14ac:dyDescent="0.25">
      <c r="A29" s="55" t="s">
        <v>2</v>
      </c>
      <c r="B29" s="55" t="s">
        <v>3</v>
      </c>
      <c r="C29" s="55" t="s">
        <v>4</v>
      </c>
      <c r="D29" s="55" t="s">
        <v>5</v>
      </c>
      <c r="E29" s="55" t="s">
        <v>6</v>
      </c>
      <c r="F29" s="55" t="s">
        <v>7</v>
      </c>
      <c r="G29" s="55" t="s">
        <v>8</v>
      </c>
    </row>
    <row r="30" spans="1:7" x14ac:dyDescent="0.25">
      <c r="A30" s="15"/>
      <c r="B30" s="39"/>
      <c r="C30" s="39"/>
      <c r="D30" s="39"/>
      <c r="E30" s="39"/>
      <c r="F30" s="15"/>
      <c r="G30" s="29">
        <v>4332</v>
      </c>
    </row>
    <row r="31" spans="1:7" x14ac:dyDescent="0.25">
      <c r="A31" s="52">
        <v>219</v>
      </c>
      <c r="B31" s="20" t="s">
        <v>60</v>
      </c>
      <c r="C31" s="20"/>
      <c r="D31" s="20" t="s">
        <v>73</v>
      </c>
      <c r="E31" s="53">
        <v>200</v>
      </c>
      <c r="F31" s="39"/>
      <c r="G31" s="51">
        <f>G30-E31+F31</f>
        <v>4132</v>
      </c>
    </row>
    <row r="32" spans="1:7" ht="30" x14ac:dyDescent="0.25">
      <c r="A32" s="52">
        <v>220</v>
      </c>
      <c r="B32" s="20" t="s">
        <v>60</v>
      </c>
      <c r="C32" s="20"/>
      <c r="D32" s="20" t="s">
        <v>62</v>
      </c>
      <c r="E32" s="53">
        <v>160</v>
      </c>
      <c r="F32" s="32"/>
      <c r="G32" s="51">
        <f t="shared" ref="G32:G38" si="2">G31-E32+F32</f>
        <v>3972</v>
      </c>
    </row>
    <row r="33" spans="1:9" x14ac:dyDescent="0.25">
      <c r="A33" s="52">
        <v>221</v>
      </c>
      <c r="B33" s="20" t="s">
        <v>63</v>
      </c>
      <c r="C33" s="20"/>
      <c r="D33" s="20" t="s">
        <v>64</v>
      </c>
      <c r="E33" s="53">
        <v>200</v>
      </c>
      <c r="F33" s="32"/>
      <c r="G33" s="51">
        <f t="shared" si="2"/>
        <v>3772</v>
      </c>
    </row>
    <row r="34" spans="1:9" ht="30" x14ac:dyDescent="0.25">
      <c r="A34" s="52">
        <v>222</v>
      </c>
      <c r="B34" s="20" t="s">
        <v>63</v>
      </c>
      <c r="C34" s="20"/>
      <c r="D34" s="20" t="s">
        <v>65</v>
      </c>
      <c r="E34" s="53">
        <v>100</v>
      </c>
      <c r="F34" s="32"/>
      <c r="G34" s="51">
        <f t="shared" si="2"/>
        <v>3672</v>
      </c>
    </row>
    <row r="35" spans="1:9" x14ac:dyDescent="0.25">
      <c r="A35" s="52">
        <v>223</v>
      </c>
      <c r="B35" s="59">
        <v>46062</v>
      </c>
      <c r="C35" s="20"/>
      <c r="D35" s="20" t="s">
        <v>77</v>
      </c>
      <c r="E35" s="53">
        <v>30</v>
      </c>
      <c r="F35" s="32"/>
      <c r="G35" s="51">
        <f t="shared" si="2"/>
        <v>3642</v>
      </c>
    </row>
    <row r="36" spans="1:9" x14ac:dyDescent="0.25">
      <c r="A36" s="52">
        <v>224</v>
      </c>
      <c r="B36" s="59">
        <v>46062</v>
      </c>
      <c r="C36" s="20"/>
      <c r="D36" s="20" t="s">
        <v>80</v>
      </c>
      <c r="E36" s="53">
        <v>771</v>
      </c>
      <c r="F36" s="32"/>
      <c r="G36" s="51">
        <f t="shared" si="2"/>
        <v>2871</v>
      </c>
    </row>
    <row r="37" spans="1:9" x14ac:dyDescent="0.25">
      <c r="A37" s="52">
        <v>225</v>
      </c>
      <c r="B37" s="59">
        <v>46062</v>
      </c>
      <c r="C37" s="20"/>
      <c r="D37" s="20" t="s">
        <v>81</v>
      </c>
      <c r="E37" s="53"/>
      <c r="F37" s="32">
        <v>1000</v>
      </c>
      <c r="G37" s="51">
        <f t="shared" si="2"/>
        <v>3871</v>
      </c>
    </row>
    <row r="38" spans="1:9" x14ac:dyDescent="0.25">
      <c r="A38" s="52"/>
      <c r="B38" s="59"/>
      <c r="C38" s="20"/>
      <c r="D38" s="20"/>
      <c r="E38" s="53"/>
      <c r="F38" s="32"/>
      <c r="G38" s="51">
        <f t="shared" si="2"/>
        <v>3871</v>
      </c>
      <c r="I38" s="68"/>
    </row>
    <row r="39" spans="1:9" x14ac:dyDescent="0.25">
      <c r="A39" s="52"/>
      <c r="B39" s="31"/>
      <c r="C39" s="34"/>
      <c r="D39" s="34" t="s">
        <v>18</v>
      </c>
      <c r="E39" s="46">
        <f>SUM(E31:E37)</f>
        <v>1461</v>
      </c>
      <c r="F39" s="46"/>
      <c r="G39" s="45">
        <f>G38-E38+F38</f>
        <v>3871</v>
      </c>
    </row>
  </sheetData>
  <autoFilter ref="A3:G18" xr:uid="{95ADD498-C75C-4822-983F-D8C04F0CD194}"/>
  <mergeCells count="4">
    <mergeCell ref="C1:E1"/>
    <mergeCell ref="C2:E2"/>
    <mergeCell ref="A28:C28"/>
    <mergeCell ref="E28:G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Date_05-09-26 to 11-09-2026</vt:lpstr>
      <vt:lpstr>Date_12-09-26 to 18-09-2026</vt:lpstr>
      <vt:lpstr>Date_19-09-26 to 25-09-2026</vt:lpstr>
      <vt:lpstr>Date_26-09-26 to 02-10-2026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2026-10-02T09:03:22Z</cp:lastPrinted>
  <dcterms:created xsi:type="dcterms:W3CDTF">2026-09-11T05:38:24Z</dcterms:created>
  <dcterms:modified xsi:type="dcterms:W3CDTF">2026-10-02T11:14:02Z</dcterms:modified>
</cp:coreProperties>
</file>